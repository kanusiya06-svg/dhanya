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us\Downloads\"/>
    </mc:Choice>
  </mc:AlternateContent>
  <xr:revisionPtr revIDLastSave="0" documentId="8_{25855BB6-93BB-4F8C-B7D7-7A13DF1841A7}" xr6:coauthVersionLast="47" xr6:coauthVersionMax="47" xr10:uidLastSave="{00000000-0000-0000-0000-000000000000}"/>
  <bookViews>
    <workbookView xWindow="-108" yWindow="-108" windowWidth="23256" windowHeight="12456" xr2:uid="{8C69D10F-B383-48DD-AF7A-923CCD335E00}"/>
  </bookViews>
  <sheets>
    <sheet name="Sheet1" sheetId="1" r:id="rId1"/>
    <sheet name="Sheet2" sheetId="2" r:id="rId2"/>
  </sheets>
  <definedNames>
    <definedName name="_xlnm._FilterDatabase" localSheetId="0" hidden="1">Sheet1!$M$2:$M$10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2" i="2"/>
  <c r="C2" i="2"/>
  <c r="B2" i="2"/>
  <c r="A2" i="2"/>
  <c r="O2" i="1"/>
  <c r="O3" i="1"/>
  <c r="O4" i="1"/>
  <c r="O5" i="1"/>
  <c r="O6" i="1"/>
  <c r="O7" i="1"/>
  <c r="O8" i="1"/>
  <c r="O9" i="1"/>
  <c r="O10" i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N3" i="1"/>
  <c r="N4" i="1"/>
  <c r="N5" i="1"/>
  <c r="N6" i="1"/>
  <c r="N7" i="1"/>
  <c r="N8" i="1"/>
  <c r="N9" i="1"/>
  <c r="N10" i="1"/>
  <c r="N2" i="1"/>
  <c r="L6" i="1"/>
  <c r="L7" i="1"/>
  <c r="L8" i="1"/>
  <c r="L10" i="1"/>
  <c r="L2" i="1"/>
  <c r="L3" i="1"/>
  <c r="L4" i="1"/>
  <c r="L5" i="1"/>
  <c r="L9" i="1"/>
</calcChain>
</file>

<file path=xl/sharedStrings.xml><?xml version="1.0" encoding="utf-8"?>
<sst xmlns="http://schemas.openxmlformats.org/spreadsheetml/2006/main" count="38" uniqueCount="36">
  <si>
    <t>Student_ID</t>
  </si>
  <si>
    <t>Name</t>
  </si>
  <si>
    <t>Department</t>
  </si>
  <si>
    <t>Mark 1</t>
  </si>
  <si>
    <t>Mark 2</t>
  </si>
  <si>
    <t>Mark 3</t>
  </si>
  <si>
    <t>Mark 4</t>
  </si>
  <si>
    <t>Mark 5</t>
  </si>
  <si>
    <t>Total Marks</t>
  </si>
  <si>
    <t>Average</t>
  </si>
  <si>
    <t>Marks Result (Pass/Fail)</t>
  </si>
  <si>
    <t>anu</t>
  </si>
  <si>
    <t>kavi</t>
  </si>
  <si>
    <t>sami</t>
  </si>
  <si>
    <t>karthik</t>
  </si>
  <si>
    <t>jasmine</t>
  </si>
  <si>
    <t>karthika</t>
  </si>
  <si>
    <t>jerlin</t>
  </si>
  <si>
    <t>vasu</t>
  </si>
  <si>
    <t>ajith</t>
  </si>
  <si>
    <t>III DS</t>
  </si>
  <si>
    <t xml:space="preserve">III DS </t>
  </si>
  <si>
    <t>M PHIL</t>
  </si>
  <si>
    <t>EEE</t>
  </si>
  <si>
    <t>MATHS</t>
  </si>
  <si>
    <t>AIDS</t>
  </si>
  <si>
    <t>ME</t>
  </si>
  <si>
    <t>GRADE</t>
  </si>
  <si>
    <t xml:space="preserve">MARK </t>
  </si>
  <si>
    <t>ATTENDENCE(%)</t>
  </si>
  <si>
    <t>ATTENDANCE</t>
  </si>
  <si>
    <t>TOTAL STUDENT</t>
  </si>
  <si>
    <t>NO OF PASS</t>
  </si>
  <si>
    <t>NO OF FAIL</t>
  </si>
  <si>
    <t>AVERAGE ATTENDANCE</t>
  </si>
  <si>
    <t>TOPPER 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</si>
</sst>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86A1-29E7-47AC-918A-43F644811F2C}">
  <dimension ref="A1:O10"/>
  <sheetViews>
    <sheetView tabSelected="1" workbookViewId="0">
      <selection activeCell="P1" sqref="P1"/>
    </sheetView>
  </sheetViews>
  <sheetFormatPr defaultRowHeight="14.4" x14ac:dyDescent="0.3"/>
  <cols>
    <col min="3" max="3" width="10.5546875" bestFit="1" customWidth="1"/>
    <col min="9" max="9" width="13.77734375" customWidth="1"/>
    <col min="10" max="10" width="10.5546875" customWidth="1"/>
    <col min="11" max="11" width="15.88671875" customWidth="1"/>
    <col min="12" max="12" width="20.109375" customWidth="1"/>
    <col min="13" max="13" width="27.21875" customWidth="1"/>
    <col min="14" max="14" width="13.88671875" customWidth="1"/>
    <col min="15" max="15" width="14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8</v>
      </c>
      <c r="K1" t="s">
        <v>9</v>
      </c>
      <c r="L1" t="s">
        <v>10</v>
      </c>
      <c r="M1" t="s">
        <v>28</v>
      </c>
      <c r="N1" t="s">
        <v>27</v>
      </c>
      <c r="O1" t="s">
        <v>30</v>
      </c>
    </row>
    <row r="2" spans="1:15" x14ac:dyDescent="0.3">
      <c r="A2">
        <v>101</v>
      </c>
      <c r="B2" t="s">
        <v>11</v>
      </c>
      <c r="C2" t="s">
        <v>20</v>
      </c>
      <c r="D2">
        <v>100</v>
      </c>
      <c r="E2">
        <v>92</v>
      </c>
      <c r="F2">
        <v>88</v>
      </c>
      <c r="G2">
        <v>78</v>
      </c>
      <c r="H2">
        <v>90</v>
      </c>
      <c r="I2" s="1">
        <v>0.85</v>
      </c>
      <c r="J2">
        <f>SUM(D2:H2)</f>
        <v>448</v>
      </c>
      <c r="K2">
        <f>AVERAGE(D2:H2)</f>
        <v>89.6</v>
      </c>
      <c r="L2" t="str">
        <f t="shared" ref="L2:L10" si="0">IF(MIN(D2:H2)&gt;=50,"PASS","FAIL")</f>
        <v>PASS</v>
      </c>
      <c r="M2">
        <v>48</v>
      </c>
      <c r="N2" t="str">
        <f>IF(M2&gt;=85,"A",IF(M2&gt;=70,"B",IF(M2&gt;=50,"C","F")))</f>
        <v>F</v>
      </c>
      <c r="O2" t="str">
        <f>IF(I2&lt;75%,"Not Eligible","Eligible")</f>
        <v>Eligible</v>
      </c>
    </row>
    <row r="3" spans="1:15" x14ac:dyDescent="0.3">
      <c r="A3">
        <v>102</v>
      </c>
      <c r="B3" t="s">
        <v>12</v>
      </c>
      <c r="C3" t="s">
        <v>25</v>
      </c>
      <c r="D3">
        <v>80</v>
      </c>
      <c r="E3">
        <v>20</v>
      </c>
      <c r="F3">
        <v>99</v>
      </c>
      <c r="G3">
        <v>78</v>
      </c>
      <c r="H3">
        <v>35</v>
      </c>
      <c r="I3" s="1">
        <v>0.75</v>
      </c>
      <c r="J3">
        <f t="shared" ref="J3:J10" si="1">SUM(D3:H3)</f>
        <v>312</v>
      </c>
      <c r="K3">
        <f t="shared" ref="K3:K10" si="2">AVERAGE(D3:H3)</f>
        <v>62.4</v>
      </c>
      <c r="L3" t="str">
        <f>IF(MIN(D3:H3)&gt;=50,"PASS","FAIL")</f>
        <v>FAIL</v>
      </c>
      <c r="M3">
        <v>49</v>
      </c>
      <c r="N3" t="str">
        <f t="shared" ref="N3:N10" si="3">IF(M3&gt;=85,"A",IF(M3&gt;=70,"B",IF(M3&gt;=50,"C","F")))</f>
        <v>F</v>
      </c>
      <c r="O3" t="str">
        <f t="shared" ref="O3:O10" si="4">IF(I3&lt;75%,"Not Eligible","Eligible")</f>
        <v>Eligible</v>
      </c>
    </row>
    <row r="4" spans="1:15" x14ac:dyDescent="0.3">
      <c r="A4">
        <v>103</v>
      </c>
      <c r="B4" t="s">
        <v>13</v>
      </c>
      <c r="C4" t="s">
        <v>24</v>
      </c>
      <c r="D4">
        <v>100</v>
      </c>
      <c r="E4">
        <v>10</v>
      </c>
      <c r="F4">
        <v>78</v>
      </c>
      <c r="G4">
        <v>70</v>
      </c>
      <c r="H4">
        <v>23</v>
      </c>
      <c r="I4" s="1">
        <v>0.65</v>
      </c>
      <c r="J4">
        <f t="shared" si="1"/>
        <v>281</v>
      </c>
      <c r="K4">
        <f t="shared" si="2"/>
        <v>56.2</v>
      </c>
      <c r="L4" t="str">
        <f>IF(MIN(D4:H4)&gt;=50,"PASS","FAIL")</f>
        <v>FAIL</v>
      </c>
      <c r="M4">
        <v>52</v>
      </c>
      <c r="N4" t="str">
        <f t="shared" si="3"/>
        <v>C</v>
      </c>
      <c r="O4" s="2" t="str">
        <f t="shared" si="4"/>
        <v>Not Eligible</v>
      </c>
    </row>
    <row r="5" spans="1:15" x14ac:dyDescent="0.3">
      <c r="A5">
        <v>104</v>
      </c>
      <c r="B5" t="s">
        <v>14</v>
      </c>
      <c r="C5" t="s">
        <v>26</v>
      </c>
      <c r="D5">
        <v>90</v>
      </c>
      <c r="E5">
        <v>35</v>
      </c>
      <c r="F5">
        <v>98</v>
      </c>
      <c r="G5">
        <v>97</v>
      </c>
      <c r="H5">
        <v>78</v>
      </c>
      <c r="I5" s="1">
        <v>0.76</v>
      </c>
      <c r="J5">
        <f t="shared" si="1"/>
        <v>398</v>
      </c>
      <c r="K5">
        <f t="shared" si="2"/>
        <v>79.599999999999994</v>
      </c>
      <c r="L5" t="str">
        <f>IF(MIN(D5:H5)&gt;=50,"PASS","FAIL")</f>
        <v>FAIL</v>
      </c>
      <c r="M5">
        <v>55</v>
      </c>
      <c r="N5" t="str">
        <f t="shared" si="3"/>
        <v>C</v>
      </c>
      <c r="O5" t="str">
        <f t="shared" si="4"/>
        <v>Eligible</v>
      </c>
    </row>
    <row r="6" spans="1:15" x14ac:dyDescent="0.3">
      <c r="A6">
        <v>105</v>
      </c>
      <c r="B6" t="s">
        <v>15</v>
      </c>
      <c r="C6" t="s">
        <v>25</v>
      </c>
      <c r="D6">
        <v>89</v>
      </c>
      <c r="E6">
        <v>35</v>
      </c>
      <c r="F6">
        <v>70</v>
      </c>
      <c r="G6">
        <v>89</v>
      </c>
      <c r="H6">
        <v>90</v>
      </c>
      <c r="I6" s="1">
        <v>0.54</v>
      </c>
      <c r="J6">
        <f t="shared" si="1"/>
        <v>373</v>
      </c>
      <c r="K6">
        <f t="shared" si="2"/>
        <v>74.599999999999994</v>
      </c>
      <c r="L6" t="str">
        <f>IF(MIN(D6:H6)&gt;=50,"PASS","FAIL")</f>
        <v>FAIL</v>
      </c>
      <c r="M6">
        <v>69</v>
      </c>
      <c r="N6" t="str">
        <f t="shared" si="3"/>
        <v>C</v>
      </c>
      <c r="O6" s="2" t="str">
        <f t="shared" si="4"/>
        <v>Not Eligible</v>
      </c>
    </row>
    <row r="7" spans="1:15" x14ac:dyDescent="0.3">
      <c r="A7">
        <v>106</v>
      </c>
      <c r="B7" t="s">
        <v>16</v>
      </c>
      <c r="C7" t="s">
        <v>25</v>
      </c>
      <c r="D7">
        <v>100</v>
      </c>
      <c r="E7">
        <v>99</v>
      </c>
      <c r="F7">
        <v>78</v>
      </c>
      <c r="G7">
        <v>86</v>
      </c>
      <c r="H7">
        <v>78</v>
      </c>
      <c r="I7" s="1">
        <v>0.67</v>
      </c>
      <c r="J7">
        <f t="shared" si="1"/>
        <v>441</v>
      </c>
      <c r="K7">
        <f t="shared" si="2"/>
        <v>88.2</v>
      </c>
      <c r="L7" t="str">
        <f>IF(MIN(D7:H7)&gt;=50,"PASS","FAIL")</f>
        <v>PASS</v>
      </c>
      <c r="M7">
        <v>70</v>
      </c>
      <c r="N7" t="str">
        <f t="shared" si="3"/>
        <v>B</v>
      </c>
      <c r="O7" s="2" t="str">
        <f t="shared" si="4"/>
        <v>Not Eligible</v>
      </c>
    </row>
    <row r="8" spans="1:15" x14ac:dyDescent="0.3">
      <c r="A8">
        <v>107</v>
      </c>
      <c r="B8" t="s">
        <v>17</v>
      </c>
      <c r="C8" t="s">
        <v>21</v>
      </c>
      <c r="D8">
        <v>100</v>
      </c>
      <c r="E8">
        <v>90</v>
      </c>
      <c r="F8">
        <v>89</v>
      </c>
      <c r="G8">
        <v>72</v>
      </c>
      <c r="H8">
        <v>90</v>
      </c>
      <c r="I8" s="1">
        <v>0.87</v>
      </c>
      <c r="J8">
        <f t="shared" si="1"/>
        <v>441</v>
      </c>
      <c r="K8">
        <f t="shared" si="2"/>
        <v>88.2</v>
      </c>
      <c r="L8" t="str">
        <f>IF(MIN(D8:H8)&gt;=50,"PASS","FAIL")</f>
        <v>PASS</v>
      </c>
      <c r="M8">
        <v>74</v>
      </c>
      <c r="N8" t="str">
        <f t="shared" si="3"/>
        <v>B</v>
      </c>
      <c r="O8" t="str">
        <f t="shared" si="4"/>
        <v>Eligible</v>
      </c>
    </row>
    <row r="9" spans="1:15" x14ac:dyDescent="0.3">
      <c r="A9">
        <v>108</v>
      </c>
      <c r="B9" t="s">
        <v>18</v>
      </c>
      <c r="C9" t="s">
        <v>22</v>
      </c>
      <c r="D9">
        <v>92</v>
      </c>
      <c r="E9">
        <v>12</v>
      </c>
      <c r="F9">
        <v>72</v>
      </c>
      <c r="G9">
        <v>90</v>
      </c>
      <c r="H9">
        <v>23</v>
      </c>
      <c r="I9" s="1">
        <v>0.76</v>
      </c>
      <c r="J9">
        <f t="shared" si="1"/>
        <v>289</v>
      </c>
      <c r="K9">
        <f t="shared" si="2"/>
        <v>57.8</v>
      </c>
      <c r="L9" t="str">
        <f>IF(MIN(D9:H9)&gt;=50,"PASS","FAIL")</f>
        <v>FAIL</v>
      </c>
      <c r="M9">
        <v>85</v>
      </c>
      <c r="N9" t="str">
        <f t="shared" si="3"/>
        <v>A</v>
      </c>
      <c r="O9" t="str">
        <f t="shared" si="4"/>
        <v>Eligible</v>
      </c>
    </row>
    <row r="10" spans="1:15" x14ac:dyDescent="0.3">
      <c r="A10">
        <v>109</v>
      </c>
      <c r="B10" t="s">
        <v>19</v>
      </c>
      <c r="C10" t="s">
        <v>23</v>
      </c>
      <c r="D10">
        <v>99</v>
      </c>
      <c r="E10">
        <v>35</v>
      </c>
      <c r="F10">
        <v>80</v>
      </c>
      <c r="G10">
        <v>67</v>
      </c>
      <c r="H10">
        <v>12</v>
      </c>
      <c r="I10" s="1">
        <v>0.78</v>
      </c>
      <c r="J10">
        <f t="shared" si="1"/>
        <v>293</v>
      </c>
      <c r="K10">
        <f t="shared" si="2"/>
        <v>58.6</v>
      </c>
      <c r="L10" t="str">
        <f>IF(MIN(D10:H10)&gt;=50,"PASS","FAIL")</f>
        <v>FAIL</v>
      </c>
      <c r="M10">
        <v>90</v>
      </c>
      <c r="N10" t="str">
        <f t="shared" si="3"/>
        <v>A</v>
      </c>
      <c r="O10" t="str">
        <f t="shared" si="4"/>
        <v>Eligible</v>
      </c>
    </row>
  </sheetData>
  <sortState xmlns:xlrd2="http://schemas.microsoft.com/office/spreadsheetml/2017/richdata2" ref="M2:M10">
    <sortCondition ref="M2:M10"/>
  </sortState>
  <pageMargins left="0.7" right="0.7" top="0.75" bottom="0.75" header="0.3" footer="0.3"/>
  <ignoredErrors>
    <ignoredError sqref="L2:L10 J2:J10 K2:K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DA36-B95D-42CB-B051-83DB72EEEAF5}">
  <dimension ref="A1:E2"/>
  <sheetViews>
    <sheetView workbookViewId="0">
      <selection activeCell="E4" sqref="E4"/>
    </sheetView>
  </sheetViews>
  <sheetFormatPr defaultRowHeight="14.4" x14ac:dyDescent="0.3"/>
  <cols>
    <col min="1" max="1" width="15.44140625" customWidth="1"/>
    <col min="2" max="2" width="11.44140625" customWidth="1"/>
    <col min="3" max="3" width="17.33203125" customWidth="1"/>
    <col min="4" max="4" width="21.109375" customWidth="1"/>
    <col min="5" max="11" width="49.21875" customWidth="1"/>
  </cols>
  <sheetData>
    <row r="1" spans="1:5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3">
      <c r="A2">
        <f>COUNTA(Sheet1!A2:A10)</f>
        <v>9</v>
      </c>
      <c r="B2">
        <f>COUNTIF(Sheet1!L2:L10,"PASS")</f>
        <v>3</v>
      </c>
      <c r="C2">
        <f>COUNTIF(Sheet1!L2:L10,"FAIL")</f>
        <v>6</v>
      </c>
      <c r="D2">
        <f>AVERAGE(Sheet1!K2:K10)</f>
        <v>72.8</v>
      </c>
      <c r="E2" t="str">
        <f>INDEX(Sheet1!B2:B10, MATCH(MAX(Sheet1!J2:J10), Sheet1!J2:J10, 0))</f>
        <v>anu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kanusiya06@gmail.com</dc:creator>
  <cp:lastModifiedBy>k anusiya</cp:lastModifiedBy>
  <dcterms:created xsi:type="dcterms:W3CDTF">2026-02-06T14:42:38Z</dcterms:created>
  <dcterms:modified xsi:type="dcterms:W3CDTF">2026-02-07T07:10:49Z</dcterms:modified>
</cp:coreProperties>
</file>